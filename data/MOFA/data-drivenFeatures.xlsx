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jo.james/Downloads/"/>
    </mc:Choice>
  </mc:AlternateContent>
  <xr:revisionPtr revIDLastSave="0" documentId="13_ncr:1_{1AA2B3F2-F527-D44A-9422-0A0F0806DD34}" xr6:coauthVersionLast="45" xr6:coauthVersionMax="47" xr10:uidLastSave="{00000000-0000-0000-0000-000000000000}"/>
  <bookViews>
    <workbookView xWindow="1160" yWindow="480" windowWidth="27640" windowHeight="16660" activeTab="1" xr2:uid="{EC9235BD-1209-5B43-A6D1-8D354B5CE242}"/>
  </bookViews>
  <sheets>
    <sheet name="Blad1" sheetId="1" r:id="rId1"/>
    <sheet name="Blad2" sheetId="2" r:id="rId2"/>
    <sheet name="Blad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" l="1"/>
  <c r="I11" i="1"/>
  <c r="I10" i="1"/>
  <c r="I9" i="1"/>
  <c r="I8" i="1"/>
  <c r="I7" i="1"/>
  <c r="I6" i="1"/>
  <c r="I5" i="1"/>
  <c r="I4" i="1"/>
  <c r="I3" i="1"/>
  <c r="I2" i="1"/>
  <c r="H13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<sst xmlns="http://schemas.openxmlformats.org/spreadsheetml/2006/main" count="784" uniqueCount="292">
  <si>
    <t>DNAm</t>
  </si>
  <si>
    <t>DSRT</t>
  </si>
  <si>
    <t>Mutations</t>
  </si>
  <si>
    <t>Proteins</t>
  </si>
  <si>
    <t>RNA</t>
  </si>
  <si>
    <t>Factor1</t>
  </si>
  <si>
    <t>Factor2</t>
  </si>
  <si>
    <t>Factor3</t>
  </si>
  <si>
    <t>Factor4</t>
  </si>
  <si>
    <t>Factor5</t>
  </si>
  <si>
    <t>Factor6</t>
  </si>
  <si>
    <t>Factor7</t>
  </si>
  <si>
    <t>Factor8</t>
  </si>
  <si>
    <t>Factor9</t>
  </si>
  <si>
    <t>Factor10</t>
  </si>
  <si>
    <t>Factor11</t>
  </si>
  <si>
    <t>every 2 units</t>
  </si>
  <si>
    <t>up to 10 diminishing</t>
  </si>
  <si>
    <t>-</t>
  </si>
  <si>
    <t>cg01201959</t>
  </si>
  <si>
    <t>cg19213703</t>
  </si>
  <si>
    <t>cg11002119</t>
  </si>
  <si>
    <t>CUGBP2</t>
  </si>
  <si>
    <t>+</t>
  </si>
  <si>
    <t>cg26266618</t>
  </si>
  <si>
    <t>CD34</t>
  </si>
  <si>
    <t>cg13759797</t>
  </si>
  <si>
    <t>LOC102477328</t>
  </si>
  <si>
    <t>cg26547816</t>
  </si>
  <si>
    <t>ARHGAP26</t>
  </si>
  <si>
    <t>cg12818967</t>
  </si>
  <si>
    <t>cg03583857</t>
  </si>
  <si>
    <t>cg17472649</t>
  </si>
  <si>
    <t>cg20293352</t>
  </si>
  <si>
    <t>NPM1</t>
  </si>
  <si>
    <t>FLT3_ITD</t>
  </si>
  <si>
    <t>RUNX1</t>
  </si>
  <si>
    <t>TET2</t>
  </si>
  <si>
    <t>IDH2_140</t>
  </si>
  <si>
    <t>ASXL1</t>
  </si>
  <si>
    <t>SF3B1</t>
  </si>
  <si>
    <t>DNMT3A</t>
  </si>
  <si>
    <t>inv_16</t>
  </si>
  <si>
    <t>inv(16)</t>
  </si>
  <si>
    <t>KIT</t>
  </si>
  <si>
    <t>Proteomics</t>
  </si>
  <si>
    <t>ENSG00000007062.p</t>
  </si>
  <si>
    <t>PROM1</t>
  </si>
  <si>
    <t>ENSG00000119919.p</t>
  </si>
  <si>
    <t>NKX2-3</t>
  </si>
  <si>
    <t>ENSG00000129951.p</t>
  </si>
  <si>
    <t>PLPPR3</t>
  </si>
  <si>
    <t>ENSG00000253293.p</t>
  </si>
  <si>
    <t>HOXA10</t>
  </si>
  <si>
    <t>ENSG00000174059.p</t>
  </si>
  <si>
    <t>RNAseq</t>
  </si>
  <si>
    <t>ENSG00000174059.g</t>
  </si>
  <si>
    <t>ENSG00000007062.g</t>
  </si>
  <si>
    <t>ENSG00000119919.g</t>
  </si>
  <si>
    <t>ENSG00000164929.g</t>
  </si>
  <si>
    <t>BAALC</t>
  </si>
  <si>
    <t>ENSG00000142192.g</t>
  </si>
  <si>
    <t>APP</t>
  </si>
  <si>
    <t>ENSG00000180592.g</t>
  </si>
  <si>
    <t>SKIDA1</t>
  </si>
  <si>
    <t>ENSG00000106004.g</t>
  </si>
  <si>
    <t>HOXA5</t>
  </si>
  <si>
    <t>ENSG00000113389.g</t>
  </si>
  <si>
    <t>NPR3</t>
  </si>
  <si>
    <t>ENSG00000134755.g</t>
  </si>
  <si>
    <t>DSC2</t>
  </si>
  <si>
    <t>cg23821020</t>
  </si>
  <si>
    <t>UBAC2;MIR548AN</t>
  </si>
  <si>
    <t>FIMM115484</t>
  </si>
  <si>
    <t>Venetoclax</t>
  </si>
  <si>
    <t>FIMM003707</t>
  </si>
  <si>
    <t>Navitoclax</t>
  </si>
  <si>
    <t>FIMM003775</t>
  </si>
  <si>
    <t>Dasatinib</t>
  </si>
  <si>
    <t>FIMM003708</t>
  </si>
  <si>
    <t>Selumetinib</t>
  </si>
  <si>
    <t>FIMM023832</t>
  </si>
  <si>
    <t>Dactolisib</t>
  </si>
  <si>
    <t>FIMM133857</t>
  </si>
  <si>
    <t>Gedatolisib</t>
  </si>
  <si>
    <t>FIMM003751</t>
  </si>
  <si>
    <t>Trametinib</t>
  </si>
  <si>
    <t>FIMM136537</t>
  </si>
  <si>
    <t>Motolimod</t>
  </si>
  <si>
    <t>ENSG00000167083.p</t>
  </si>
  <si>
    <t>GNGT2</t>
  </si>
  <si>
    <t>ENSG00000085514.p</t>
  </si>
  <si>
    <t>PILRA</t>
  </si>
  <si>
    <t>ENSG00000116701.p</t>
  </si>
  <si>
    <t>NCF2</t>
  </si>
  <si>
    <t>ENSG00000160883.p</t>
  </si>
  <si>
    <t>HK3</t>
  </si>
  <si>
    <t>ENSG00000136689.p</t>
  </si>
  <si>
    <t>IL1RN</t>
  </si>
  <si>
    <t>ENSG00000158517.p</t>
  </si>
  <si>
    <t>NCF1</t>
  </si>
  <si>
    <t>ENSG00000198053.p</t>
  </si>
  <si>
    <t>SIRPA</t>
  </si>
  <si>
    <t>ENSG00000130957.p</t>
  </si>
  <si>
    <t>FBP2</t>
  </si>
  <si>
    <t>ENSG00000197629.p</t>
  </si>
  <si>
    <t>MPEG1</t>
  </si>
  <si>
    <t>ENSG00000170458.p</t>
  </si>
  <si>
    <t>CD14</t>
  </si>
  <si>
    <t>ENSG00000170458.g</t>
  </si>
  <si>
    <t>ENSG00000186407.g</t>
  </si>
  <si>
    <t>CD300E</t>
  </si>
  <si>
    <t>ENSG00000197629.g</t>
  </si>
  <si>
    <t>ENSG00000197405.g</t>
  </si>
  <si>
    <t>C5AR1</t>
  </si>
  <si>
    <t>ENSG00000101916.g</t>
  </si>
  <si>
    <t>TLR8</t>
  </si>
  <si>
    <t>ENSG00000163823.g</t>
  </si>
  <si>
    <t>CCR1</t>
  </si>
  <si>
    <t>ENSG00000103313.g</t>
  </si>
  <si>
    <t>MEFV</t>
  </si>
  <si>
    <t>ENSG00000121316.g</t>
  </si>
  <si>
    <t>PLBD1</t>
  </si>
  <si>
    <t>ENSG00000038427.g</t>
  </si>
  <si>
    <t>VCAN</t>
  </si>
  <si>
    <t>ENSG00000186818.g</t>
  </si>
  <si>
    <t>LILRB4</t>
  </si>
  <si>
    <t>cg21732535</t>
  </si>
  <si>
    <t>PTH2R</t>
  </si>
  <si>
    <t>cg09718037</t>
  </si>
  <si>
    <t>cg03189652</t>
  </si>
  <si>
    <t>cg11676442</t>
  </si>
  <si>
    <t>FBLN7</t>
  </si>
  <si>
    <t>cg11616457</t>
  </si>
  <si>
    <t>LINC01258</t>
  </si>
  <si>
    <t>cg23485239</t>
  </si>
  <si>
    <t>SNX29</t>
  </si>
  <si>
    <t>cg01880236</t>
  </si>
  <si>
    <t>cg00281776</t>
  </si>
  <si>
    <t>cg11570752</t>
  </si>
  <si>
    <t>PDE9A</t>
  </si>
  <si>
    <t>cg26869364</t>
  </si>
  <si>
    <t>MAFG</t>
  </si>
  <si>
    <t>SRSF2</t>
  </si>
  <si>
    <t>ENSG00000147394.p</t>
  </si>
  <si>
    <t>ZNF185</t>
  </si>
  <si>
    <t>ENSG00000144407.g</t>
  </si>
  <si>
    <t>ENSG00000147394.g</t>
  </si>
  <si>
    <t>FIMM136440</t>
  </si>
  <si>
    <t>Filgotinib</t>
  </si>
  <si>
    <t>ENSG00000198336.p</t>
  </si>
  <si>
    <t>MYL4</t>
  </si>
  <si>
    <t>ENSG00000204613.p</t>
  </si>
  <si>
    <t>TRIM10</t>
  </si>
  <si>
    <t>ENSG00000169877.p</t>
  </si>
  <si>
    <t>AHSP</t>
  </si>
  <si>
    <t>ENSG00000158578.p</t>
  </si>
  <si>
    <t>ALAS2</t>
  </si>
  <si>
    <t>ENSG00000143416.p</t>
  </si>
  <si>
    <t>SELENBP1</t>
  </si>
  <si>
    <t>ENSG00000166947.p</t>
  </si>
  <si>
    <t>EPB42</t>
  </si>
  <si>
    <t>ENSG00000163554.p</t>
  </si>
  <si>
    <t>SPTA1</t>
  </si>
  <si>
    <t>ENSG00000004939.g</t>
  </si>
  <si>
    <t>SLC4A1</t>
  </si>
  <si>
    <t>ENSG00000133742.g</t>
  </si>
  <si>
    <t>CA1</t>
  </si>
  <si>
    <t>ENSG00000152078.g</t>
  </si>
  <si>
    <t>TMEM56</t>
  </si>
  <si>
    <t>ENSG00000169877.g</t>
  </si>
  <si>
    <t>ENSG00000170180.g</t>
  </si>
  <si>
    <t>GYPA</t>
  </si>
  <si>
    <t>ENSG00000070182.g</t>
  </si>
  <si>
    <t>SPTB</t>
  </si>
  <si>
    <t>FIMM003719</t>
  </si>
  <si>
    <t>SNS-032</t>
  </si>
  <si>
    <t>FIMM136369</t>
  </si>
  <si>
    <t>CUDC-907</t>
  </si>
  <si>
    <t>ENSG00000168497.p</t>
  </si>
  <si>
    <t>CAVIN2</t>
  </si>
  <si>
    <t>ENSG00000100351.p</t>
  </si>
  <si>
    <t>GRAP2</t>
  </si>
  <si>
    <t>ENSG00000172572.p</t>
  </si>
  <si>
    <t>PDE3A</t>
  </si>
  <si>
    <t>ENSG00000198821.p</t>
  </si>
  <si>
    <t>CD247</t>
  </si>
  <si>
    <t>ENSG00000154310.p</t>
  </si>
  <si>
    <t>TNIK</t>
  </si>
  <si>
    <t>ENSG00000163736.g</t>
  </si>
  <si>
    <t>PPBP</t>
  </si>
  <si>
    <t>ENSG00000204010.g</t>
  </si>
  <si>
    <t>IFIT1B</t>
  </si>
  <si>
    <t>ENSG00000101162.g</t>
  </si>
  <si>
    <t>TUBB1</t>
  </si>
  <si>
    <t>ENSG00000196565.g</t>
  </si>
  <si>
    <t>HBG2</t>
  </si>
  <si>
    <t>cg04885832</t>
  </si>
  <si>
    <t>NSD1</t>
  </si>
  <si>
    <t>cg08694699</t>
  </si>
  <si>
    <t>ESRP2</t>
  </si>
  <si>
    <t>cg26322951</t>
  </si>
  <si>
    <t>RCCD1</t>
  </si>
  <si>
    <t>cg02245020</t>
  </si>
  <si>
    <t>FAM115A</t>
  </si>
  <si>
    <t>cg06636971</t>
  </si>
  <si>
    <t>FAM65B</t>
  </si>
  <si>
    <t>cg01057656</t>
  </si>
  <si>
    <t>CBLC</t>
  </si>
  <si>
    <t>cg01730970</t>
  </si>
  <si>
    <t>MAP3K6</t>
  </si>
  <si>
    <t>cg20165381</t>
  </si>
  <si>
    <t>CD164L2</t>
  </si>
  <si>
    <t>cg05306070</t>
  </si>
  <si>
    <t>cg00084669</t>
  </si>
  <si>
    <t>TPRG1-AS1</t>
  </si>
  <si>
    <t>ENSG00000005469.p</t>
  </si>
  <si>
    <t>CROT</t>
  </si>
  <si>
    <t>ENSG00000103056.g</t>
  </si>
  <si>
    <t>SMPD3</t>
  </si>
  <si>
    <t>cg04582128</t>
  </si>
  <si>
    <t>MURC</t>
  </si>
  <si>
    <t>ENSG00000196415.p</t>
  </si>
  <si>
    <t>PRTN3</t>
  </si>
  <si>
    <t>ENSG00000077984.p</t>
  </si>
  <si>
    <t>CST7</t>
  </si>
  <si>
    <t>ENSG00000172232.p</t>
  </si>
  <si>
    <t>AZU1</t>
  </si>
  <si>
    <t>ENSG00000124107.p</t>
  </si>
  <si>
    <t>SLPI</t>
  </si>
  <si>
    <t>ENSG00000138772.p</t>
  </si>
  <si>
    <t>ANXA3</t>
  </si>
  <si>
    <t>ENSG00000135404.p</t>
  </si>
  <si>
    <t>CD63</t>
  </si>
  <si>
    <t>ENSG00000145192.p</t>
  </si>
  <si>
    <t>AHSG</t>
  </si>
  <si>
    <t>ENSG00000197561.g</t>
  </si>
  <si>
    <t>ELANE</t>
  </si>
  <si>
    <t>ENSG00000077984.g</t>
  </si>
  <si>
    <t>cg26021293</t>
  </si>
  <si>
    <t>SDPR</t>
  </si>
  <si>
    <t>cg27049094</t>
  </si>
  <si>
    <t>HK2</t>
  </si>
  <si>
    <t>cg16569052</t>
  </si>
  <si>
    <t>cg11723077</t>
  </si>
  <si>
    <t>SYNJ2</t>
  </si>
  <si>
    <t>cg06878499</t>
  </si>
  <si>
    <t>ENSG00000005381.p</t>
  </si>
  <si>
    <t>MPO</t>
  </si>
  <si>
    <t>ENSG00000139117.p</t>
  </si>
  <si>
    <t>CPNE8</t>
  </si>
  <si>
    <t>ENSG00000078399.g</t>
  </si>
  <si>
    <t>HOXA9</t>
  </si>
  <si>
    <t>ENSG00000139117.g</t>
  </si>
  <si>
    <t>ENSG00000253293.g</t>
  </si>
  <si>
    <t>cg02329699</t>
  </si>
  <si>
    <t>ZNF521</t>
  </si>
  <si>
    <t>cg08906309</t>
  </si>
  <si>
    <t>LOC100128288</t>
  </si>
  <si>
    <t>cg26109510</t>
  </si>
  <si>
    <t>C2orf42</t>
  </si>
  <si>
    <t>ENSG00000122378.p</t>
  </si>
  <si>
    <t>FAM213A</t>
  </si>
  <si>
    <t>ENSG00000198795.p</t>
  </si>
  <si>
    <t>ENSG00000198795.g</t>
  </si>
  <si>
    <t>ENSG00000130508.g</t>
  </si>
  <si>
    <t>PXDN</t>
  </si>
  <si>
    <t>ENSG00000070018.g</t>
  </si>
  <si>
    <t>LRP6</t>
  </si>
  <si>
    <t>ENSG00000217801.g</t>
  </si>
  <si>
    <t>ENSG00000148926.g</t>
  </si>
  <si>
    <t>ADM</t>
  </si>
  <si>
    <t>ENSG00000168209.g</t>
  </si>
  <si>
    <t>DDIT4</t>
  </si>
  <si>
    <t>ENSG00000204099.g</t>
  </si>
  <si>
    <t>NEU4</t>
  </si>
  <si>
    <t>ENSG00000145911.g</t>
  </si>
  <si>
    <t>N4BP3</t>
  </si>
  <si>
    <t>ENSG00000006327.g</t>
  </si>
  <si>
    <t>TNFRSF12A</t>
  </si>
  <si>
    <t>ENSG00000202512.g</t>
  </si>
  <si>
    <t>RN7SKP230</t>
  </si>
  <si>
    <t>ENSG00000240869.g</t>
  </si>
  <si>
    <t>RN7SL128P</t>
  </si>
  <si>
    <t>ENSG00000223255.g</t>
  </si>
  <si>
    <t>RN7SKP274</t>
  </si>
  <si>
    <t>value</t>
  </si>
  <si>
    <t>view</t>
  </si>
  <si>
    <t>sign</t>
  </si>
  <si>
    <t>feature_id</t>
  </si>
  <si>
    <t>label</t>
  </si>
  <si>
    <t>Hallmark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</si>
</sst>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4B111-897A-104A-BDC5-234A3525061C}">
  <dimension ref="A1:I13"/>
  <sheetViews>
    <sheetView workbookViewId="0">
      <selection activeCell="A13" sqref="A13"/>
    </sheetView>
  </sheetViews>
  <sheetFormatPr baseColWidth="10" defaultRowHeight="16" x14ac:dyDescent="0.2"/>
  <sheetData>
    <row r="1" spans="1:9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s="1" t="s">
        <v>16</v>
      </c>
      <c r="I1" s="1" t="s">
        <v>17</v>
      </c>
    </row>
    <row r="2" spans="1:9" x14ac:dyDescent="0.2">
      <c r="A2" s="2" t="s">
        <v>5</v>
      </c>
      <c r="B2" s="3">
        <v>17.63287</v>
      </c>
      <c r="C2" s="3">
        <v>2.6124518999999999E-2</v>
      </c>
      <c r="D2" s="3">
        <v>15.638744785</v>
      </c>
      <c r="E2" s="3">
        <v>5.6327132630000003</v>
      </c>
      <c r="F2" s="3">
        <v>9.0208750000000002</v>
      </c>
      <c r="H2">
        <f>8+7+2+3</f>
        <v>20</v>
      </c>
      <c r="I2">
        <f>10+10+5+9</f>
        <v>34</v>
      </c>
    </row>
    <row r="3" spans="1:9" x14ac:dyDescent="0.2">
      <c r="A3" s="2" t="s">
        <v>6</v>
      </c>
      <c r="B3" s="3">
        <v>1.5786070000000001</v>
      </c>
      <c r="C3" s="3">
        <v>8.9309271030000001</v>
      </c>
      <c r="D3" s="3">
        <v>3.2720430000000001E-3</v>
      </c>
      <c r="E3" s="3">
        <v>12.935373928000001</v>
      </c>
      <c r="F3" s="3">
        <v>11.280324</v>
      </c>
      <c r="H3">
        <f>4+6+5</f>
        <v>15</v>
      </c>
      <c r="I3">
        <f>1+8+10+10</f>
        <v>29</v>
      </c>
    </row>
    <row r="4" spans="1:9" x14ac:dyDescent="0.2">
      <c r="A4" s="2" t="s">
        <v>7</v>
      </c>
      <c r="B4" s="3">
        <v>17.752929999999999</v>
      </c>
      <c r="C4" s="3">
        <v>2.2807870000000001E-2</v>
      </c>
      <c r="D4" s="3">
        <v>2.1770672489999998</v>
      </c>
      <c r="E4" s="3">
        <v>1.556839646</v>
      </c>
      <c r="F4" s="3">
        <v>2.199214</v>
      </c>
      <c r="H4">
        <f>8+1+2</f>
        <v>11</v>
      </c>
      <c r="I4">
        <f>10+2+1+2</f>
        <v>15</v>
      </c>
    </row>
    <row r="5" spans="1:9" x14ac:dyDescent="0.2">
      <c r="A5" s="2" t="s">
        <v>8</v>
      </c>
      <c r="B5" s="3">
        <v>0.1567142</v>
      </c>
      <c r="C5" s="3">
        <v>1.0518347610000001</v>
      </c>
      <c r="D5" s="3">
        <v>1.1700843000000001E-2</v>
      </c>
      <c r="E5" s="3">
        <v>7.5079863619999996</v>
      </c>
      <c r="F5" s="3">
        <v>6.4868370000000004</v>
      </c>
      <c r="H5">
        <f>3+3</f>
        <v>6</v>
      </c>
      <c r="I5">
        <f>1+7+6</f>
        <v>14</v>
      </c>
    </row>
    <row r="6" spans="1:9" x14ac:dyDescent="0.2">
      <c r="A6" s="2" t="s">
        <v>9</v>
      </c>
      <c r="B6" s="3">
        <v>0.99930070000000004</v>
      </c>
      <c r="C6" s="3">
        <v>2.8187568160000001</v>
      </c>
      <c r="D6" s="3">
        <v>2.5973329999999998E-3</v>
      </c>
      <c r="E6" s="3">
        <v>6.2825071230000002</v>
      </c>
      <c r="F6" s="3">
        <v>4.7888279999999996</v>
      </c>
      <c r="H6">
        <f>1+3+2</f>
        <v>6</v>
      </c>
      <c r="I6">
        <f>2+6+4</f>
        <v>12</v>
      </c>
    </row>
    <row r="7" spans="1:9" x14ac:dyDescent="0.2">
      <c r="A7" s="2" t="s">
        <v>10</v>
      </c>
      <c r="B7" s="3">
        <v>10.73236</v>
      </c>
      <c r="C7" s="3">
        <v>1.2198160000000001E-3</v>
      </c>
      <c r="D7" s="3">
        <v>1.8864859999999999E-3</v>
      </c>
      <c r="E7" s="3">
        <v>1.240178333</v>
      </c>
      <c r="F7" s="3">
        <v>1.509612</v>
      </c>
      <c r="H7">
        <f>5</f>
        <v>5</v>
      </c>
      <c r="I7">
        <f>10+1+1</f>
        <v>12</v>
      </c>
    </row>
    <row r="8" spans="1:9" x14ac:dyDescent="0.2">
      <c r="A8" s="2" t="s">
        <v>11</v>
      </c>
      <c r="B8" s="3">
        <v>1.0332079999999999</v>
      </c>
      <c r="C8" s="3">
        <v>2.5329430000000002E-3</v>
      </c>
      <c r="D8" s="3">
        <v>5.1609120000000001E-3</v>
      </c>
      <c r="E8" s="3">
        <v>7.8822288670000002</v>
      </c>
      <c r="F8" s="3">
        <v>2.7605689999999998</v>
      </c>
      <c r="H8">
        <f>3+1</f>
        <v>4</v>
      </c>
      <c r="I8">
        <f>1+7+2</f>
        <v>10</v>
      </c>
    </row>
    <row r="9" spans="1:9" x14ac:dyDescent="0.2">
      <c r="A9" s="2" t="s">
        <v>12</v>
      </c>
      <c r="B9" s="3">
        <v>5.1154650000000004</v>
      </c>
      <c r="C9" s="3">
        <v>1.5826620999999999E-2</v>
      </c>
      <c r="D9" s="3">
        <v>0.80796545900000005</v>
      </c>
      <c r="E9" s="3">
        <v>2.129358265</v>
      </c>
      <c r="F9" s="3">
        <v>3.1987459999999999</v>
      </c>
      <c r="H9">
        <f>2+1+1</f>
        <v>4</v>
      </c>
      <c r="I9">
        <f>5+2+3</f>
        <v>10</v>
      </c>
    </row>
    <row r="10" spans="1:9" x14ac:dyDescent="0.2">
      <c r="A10" s="2" t="s">
        <v>13</v>
      </c>
      <c r="B10" s="3">
        <v>3.167564</v>
      </c>
      <c r="C10" s="3">
        <v>2.3509075000000001E-2</v>
      </c>
      <c r="D10" s="3">
        <v>0.81322674100000003</v>
      </c>
      <c r="E10" s="3">
        <v>2.1206703089999999</v>
      </c>
      <c r="F10" s="3">
        <v>3.1812689999999999</v>
      </c>
      <c r="H10">
        <f>1+1+1</f>
        <v>3</v>
      </c>
      <c r="I10">
        <f>3+2+3</f>
        <v>8</v>
      </c>
    </row>
    <row r="11" spans="1:9" x14ac:dyDescent="0.2">
      <c r="A11" s="2" t="s">
        <v>14</v>
      </c>
      <c r="B11" s="3">
        <v>1.900218E-2</v>
      </c>
      <c r="C11" s="3">
        <v>9.80549E-3</v>
      </c>
      <c r="D11" s="3">
        <v>3.3125479999999998E-3</v>
      </c>
      <c r="E11" s="3">
        <v>0.79493636199999995</v>
      </c>
      <c r="F11" s="3">
        <v>6.2534929999999997</v>
      </c>
      <c r="H11" s="3">
        <v>3</v>
      </c>
      <c r="I11">
        <f>6</f>
        <v>6</v>
      </c>
    </row>
    <row r="12" spans="1:9" x14ac:dyDescent="0.2">
      <c r="A12" s="2" t="s">
        <v>15</v>
      </c>
      <c r="B12" s="3">
        <v>5.9496960000000002E-2</v>
      </c>
      <c r="C12" s="3">
        <v>1.2583107E-2</v>
      </c>
      <c r="D12" s="3">
        <v>2.0628650000000001E-3</v>
      </c>
      <c r="E12" s="3">
        <v>1.1788269999999999E-3</v>
      </c>
      <c r="F12" s="3">
        <v>3.8927800000000001</v>
      </c>
      <c r="H12" s="3">
        <v>1</v>
      </c>
      <c r="I12" s="3">
        <v>3</v>
      </c>
    </row>
    <row r="13" spans="1:9" x14ac:dyDescent="0.2">
      <c r="H13">
        <f>SUM(H2:H12)</f>
        <v>78</v>
      </c>
      <c r="I13">
        <f>SUM(I2:I12)</f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65227-217D-3E40-BCBD-38F04A252BC6}">
  <dimension ref="A1:F153"/>
  <sheetViews>
    <sheetView tabSelected="1" topLeftCell="A121" workbookViewId="0">
      <selection activeCell="F152" sqref="F152"/>
    </sheetView>
  </sheetViews>
  <sheetFormatPr baseColWidth="10" defaultRowHeight="16" x14ac:dyDescent="0.2"/>
  <sheetData>
    <row r="1" spans="1:6" x14ac:dyDescent="0.2">
      <c r="A1" t="s">
        <v>291</v>
      </c>
      <c r="B1" t="s">
        <v>290</v>
      </c>
      <c r="C1" t="s">
        <v>286</v>
      </c>
      <c r="D1" t="s">
        <v>287</v>
      </c>
      <c r="E1" t="s">
        <v>288</v>
      </c>
      <c r="F1" t="s">
        <v>289</v>
      </c>
    </row>
    <row r="2" spans="1:6" x14ac:dyDescent="0.2">
      <c r="A2" t="s">
        <v>5</v>
      </c>
      <c r="B2" t="s">
        <v>19</v>
      </c>
      <c r="C2">
        <v>1</v>
      </c>
      <c r="D2" t="s">
        <v>0</v>
      </c>
      <c r="E2" t="s">
        <v>18</v>
      </c>
      <c r="F2" t="s">
        <v>19</v>
      </c>
    </row>
    <row r="3" spans="1:6" x14ac:dyDescent="0.2">
      <c r="A3" t="s">
        <v>5</v>
      </c>
      <c r="B3" t="s">
        <v>20</v>
      </c>
      <c r="C3">
        <v>0.995083376362776</v>
      </c>
      <c r="D3" t="s">
        <v>0</v>
      </c>
      <c r="E3" t="s">
        <v>18</v>
      </c>
      <c r="F3" t="s">
        <v>20</v>
      </c>
    </row>
    <row r="4" spans="1:6" x14ac:dyDescent="0.2">
      <c r="A4" t="s">
        <v>5</v>
      </c>
      <c r="B4" t="s">
        <v>22</v>
      </c>
      <c r="C4">
        <v>0.991023168021547</v>
      </c>
      <c r="D4" t="s">
        <v>0</v>
      </c>
      <c r="E4" t="s">
        <v>18</v>
      </c>
      <c r="F4" t="s">
        <v>21</v>
      </c>
    </row>
    <row r="5" spans="1:6" x14ac:dyDescent="0.2">
      <c r="A5" t="s">
        <v>5</v>
      </c>
      <c r="B5" t="s">
        <v>25</v>
      </c>
      <c r="C5">
        <v>0.972836979425026</v>
      </c>
      <c r="D5" t="s">
        <v>0</v>
      </c>
      <c r="E5" t="s">
        <v>23</v>
      </c>
      <c r="F5" t="s">
        <v>24</v>
      </c>
    </row>
    <row r="6" spans="1:6" x14ac:dyDescent="0.2">
      <c r="A6" t="s">
        <v>5</v>
      </c>
      <c r="B6" t="s">
        <v>27</v>
      </c>
      <c r="C6">
        <v>0.95076174202586194</v>
      </c>
      <c r="D6" t="s">
        <v>0</v>
      </c>
      <c r="E6" t="s">
        <v>18</v>
      </c>
      <c r="F6" t="s">
        <v>26</v>
      </c>
    </row>
    <row r="7" spans="1:6" x14ac:dyDescent="0.2">
      <c r="A7" t="s">
        <v>5</v>
      </c>
      <c r="B7" t="s">
        <v>29</v>
      </c>
      <c r="C7">
        <v>0.93853213422205095</v>
      </c>
      <c r="D7" t="s">
        <v>0</v>
      </c>
      <c r="E7" t="s">
        <v>18</v>
      </c>
      <c r="F7" t="s">
        <v>28</v>
      </c>
    </row>
    <row r="8" spans="1:6" x14ac:dyDescent="0.2">
      <c r="A8" t="s">
        <v>5</v>
      </c>
      <c r="B8" t="s">
        <v>30</v>
      </c>
      <c r="C8">
        <v>0.91594409424277901</v>
      </c>
      <c r="D8" t="s">
        <v>0</v>
      </c>
      <c r="E8" t="s">
        <v>18</v>
      </c>
      <c r="F8" t="s">
        <v>30</v>
      </c>
    </row>
    <row r="9" spans="1:6" x14ac:dyDescent="0.2">
      <c r="A9" t="s">
        <v>5</v>
      </c>
      <c r="B9" t="s">
        <v>25</v>
      </c>
      <c r="C9">
        <v>0.91511411819199495</v>
      </c>
      <c r="D9" t="s">
        <v>0</v>
      </c>
      <c r="E9" t="s">
        <v>23</v>
      </c>
      <c r="F9" t="s">
        <v>31</v>
      </c>
    </row>
    <row r="10" spans="1:6" x14ac:dyDescent="0.2">
      <c r="A10" t="s">
        <v>5</v>
      </c>
      <c r="B10" t="s">
        <v>32</v>
      </c>
      <c r="C10">
        <v>0.90264451541091895</v>
      </c>
      <c r="D10" t="s">
        <v>0</v>
      </c>
      <c r="E10" t="s">
        <v>18</v>
      </c>
      <c r="F10" t="s">
        <v>32</v>
      </c>
    </row>
    <row r="11" spans="1:6" x14ac:dyDescent="0.2">
      <c r="A11" t="s">
        <v>5</v>
      </c>
      <c r="B11" t="s">
        <v>25</v>
      </c>
      <c r="C11">
        <v>0.89758930750969002</v>
      </c>
      <c r="D11" t="s">
        <v>0</v>
      </c>
      <c r="E11" t="s">
        <v>23</v>
      </c>
      <c r="F11" t="s">
        <v>33</v>
      </c>
    </row>
    <row r="12" spans="1:6" x14ac:dyDescent="0.2">
      <c r="A12" t="s">
        <v>5</v>
      </c>
      <c r="B12" t="s">
        <v>34</v>
      </c>
      <c r="C12">
        <v>1</v>
      </c>
      <c r="D12" t="s">
        <v>2</v>
      </c>
      <c r="E12" t="s">
        <v>23</v>
      </c>
      <c r="F12" t="s">
        <v>34</v>
      </c>
    </row>
    <row r="13" spans="1:6" x14ac:dyDescent="0.2">
      <c r="A13" t="s">
        <v>5</v>
      </c>
      <c r="B13" t="s">
        <v>35</v>
      </c>
      <c r="C13">
        <v>0.37848436740483499</v>
      </c>
      <c r="D13" t="s">
        <v>2</v>
      </c>
      <c r="E13" t="s">
        <v>23</v>
      </c>
      <c r="F13" t="s">
        <v>35</v>
      </c>
    </row>
    <row r="14" spans="1:6" x14ac:dyDescent="0.2">
      <c r="A14" t="s">
        <v>5</v>
      </c>
      <c r="B14" t="s">
        <v>36</v>
      </c>
      <c r="C14">
        <v>0.173552557339192</v>
      </c>
      <c r="D14" t="s">
        <v>2</v>
      </c>
      <c r="E14" t="s">
        <v>18</v>
      </c>
      <c r="F14" t="s">
        <v>36</v>
      </c>
    </row>
    <row r="15" spans="1:6" x14ac:dyDescent="0.2">
      <c r="A15" t="s">
        <v>5</v>
      </c>
      <c r="B15" t="s">
        <v>37</v>
      </c>
      <c r="C15">
        <v>1.74047313865324E-2</v>
      </c>
      <c r="D15" t="s">
        <v>2</v>
      </c>
      <c r="E15" t="s">
        <v>23</v>
      </c>
      <c r="F15" t="s">
        <v>37</v>
      </c>
    </row>
    <row r="16" spans="1:6" x14ac:dyDescent="0.2">
      <c r="A16" t="s">
        <v>5</v>
      </c>
      <c r="B16" t="s">
        <v>38</v>
      </c>
      <c r="C16">
        <v>1.6146446177708999E-2</v>
      </c>
      <c r="D16" t="s">
        <v>2</v>
      </c>
      <c r="E16" t="s">
        <v>23</v>
      </c>
      <c r="F16" t="s">
        <v>38</v>
      </c>
    </row>
    <row r="17" spans="1:6" x14ac:dyDescent="0.2">
      <c r="A17" t="s">
        <v>5</v>
      </c>
      <c r="B17" t="s">
        <v>39</v>
      </c>
      <c r="C17">
        <v>8.7159046043515792E-3</v>
      </c>
      <c r="D17" t="s">
        <v>2</v>
      </c>
      <c r="E17" t="s">
        <v>18</v>
      </c>
      <c r="F17" t="s">
        <v>39</v>
      </c>
    </row>
    <row r="18" spans="1:6" x14ac:dyDescent="0.2">
      <c r="A18" t="s">
        <v>5</v>
      </c>
      <c r="B18" t="s">
        <v>40</v>
      </c>
      <c r="C18">
        <v>4.9654853543035296E-3</v>
      </c>
      <c r="D18" t="s">
        <v>2</v>
      </c>
      <c r="E18" t="s">
        <v>18</v>
      </c>
      <c r="F18" t="s">
        <v>40</v>
      </c>
    </row>
    <row r="19" spans="1:6" x14ac:dyDescent="0.2">
      <c r="A19" t="s">
        <v>5</v>
      </c>
      <c r="B19" t="s">
        <v>41</v>
      </c>
      <c r="C19">
        <v>4.6218407426649099E-3</v>
      </c>
      <c r="D19" t="s">
        <v>2</v>
      </c>
      <c r="E19" t="s">
        <v>23</v>
      </c>
      <c r="F19" t="s">
        <v>41</v>
      </c>
    </row>
    <row r="20" spans="1:6" x14ac:dyDescent="0.2">
      <c r="A20" t="s">
        <v>5</v>
      </c>
      <c r="B20" t="s">
        <v>43</v>
      </c>
      <c r="C20">
        <v>3.98046028846606E-3</v>
      </c>
      <c r="D20" t="s">
        <v>2</v>
      </c>
      <c r="E20" t="s">
        <v>18</v>
      </c>
      <c r="F20" t="s">
        <v>42</v>
      </c>
    </row>
    <row r="21" spans="1:6" x14ac:dyDescent="0.2">
      <c r="A21" t="s">
        <v>5</v>
      </c>
      <c r="B21" t="s">
        <v>44</v>
      </c>
      <c r="C21">
        <v>2.6262971402457999E-3</v>
      </c>
      <c r="D21" t="s">
        <v>2</v>
      </c>
      <c r="E21" t="s">
        <v>18</v>
      </c>
      <c r="F21" t="s">
        <v>44</v>
      </c>
    </row>
    <row r="22" spans="1:6" x14ac:dyDescent="0.2">
      <c r="A22" t="s">
        <v>5</v>
      </c>
      <c r="B22" t="s">
        <v>47</v>
      </c>
      <c r="C22">
        <v>1</v>
      </c>
      <c r="D22" t="s">
        <v>45</v>
      </c>
      <c r="E22" t="s">
        <v>18</v>
      </c>
      <c r="F22" t="s">
        <v>46</v>
      </c>
    </row>
    <row r="23" spans="1:6" x14ac:dyDescent="0.2">
      <c r="A23" t="s">
        <v>5</v>
      </c>
      <c r="B23" t="s">
        <v>49</v>
      </c>
      <c r="C23">
        <v>0.98173264308000097</v>
      </c>
      <c r="D23" t="s">
        <v>45</v>
      </c>
      <c r="E23" t="s">
        <v>23</v>
      </c>
      <c r="F23" t="s">
        <v>48</v>
      </c>
    </row>
    <row r="24" spans="1:6" x14ac:dyDescent="0.2">
      <c r="A24" t="s">
        <v>5</v>
      </c>
      <c r="B24" t="s">
        <v>51</v>
      </c>
      <c r="C24">
        <v>0.90316070400361204</v>
      </c>
      <c r="D24" t="s">
        <v>45</v>
      </c>
      <c r="E24" t="s">
        <v>23</v>
      </c>
      <c r="F24" t="s">
        <v>50</v>
      </c>
    </row>
    <row r="25" spans="1:6" x14ac:dyDescent="0.2">
      <c r="A25" t="s">
        <v>5</v>
      </c>
      <c r="B25" t="s">
        <v>53</v>
      </c>
      <c r="C25">
        <v>0.89301952935179196</v>
      </c>
      <c r="D25" t="s">
        <v>45</v>
      </c>
      <c r="E25" t="s">
        <v>23</v>
      </c>
      <c r="F25" t="s">
        <v>52</v>
      </c>
    </row>
    <row r="26" spans="1:6" x14ac:dyDescent="0.2">
      <c r="A26" t="s">
        <v>5</v>
      </c>
      <c r="B26" t="s">
        <v>25</v>
      </c>
      <c r="C26">
        <v>0.88868811661592595</v>
      </c>
      <c r="D26" t="s">
        <v>45</v>
      </c>
      <c r="E26" t="s">
        <v>18</v>
      </c>
      <c r="F26" t="s">
        <v>54</v>
      </c>
    </row>
    <row r="27" spans="1:6" x14ac:dyDescent="0.2">
      <c r="A27" t="s">
        <v>5</v>
      </c>
      <c r="B27" t="s">
        <v>25</v>
      </c>
      <c r="C27">
        <v>1</v>
      </c>
      <c r="D27" t="s">
        <v>55</v>
      </c>
      <c r="E27" t="s">
        <v>18</v>
      </c>
      <c r="F27" t="s">
        <v>56</v>
      </c>
    </row>
    <row r="28" spans="1:6" x14ac:dyDescent="0.2">
      <c r="A28" t="s">
        <v>5</v>
      </c>
      <c r="B28" t="s">
        <v>47</v>
      </c>
      <c r="C28">
        <v>0.74942399309968799</v>
      </c>
      <c r="D28" t="s">
        <v>55</v>
      </c>
      <c r="E28" t="s">
        <v>18</v>
      </c>
      <c r="F28" t="s">
        <v>57</v>
      </c>
    </row>
    <row r="29" spans="1:6" x14ac:dyDescent="0.2">
      <c r="A29" t="s">
        <v>5</v>
      </c>
      <c r="B29" t="s">
        <v>49</v>
      </c>
      <c r="C29">
        <v>0.72638313434310298</v>
      </c>
      <c r="D29" t="s">
        <v>55</v>
      </c>
      <c r="E29" t="s">
        <v>23</v>
      </c>
      <c r="F29" t="s">
        <v>58</v>
      </c>
    </row>
    <row r="30" spans="1:6" x14ac:dyDescent="0.2">
      <c r="A30" t="s">
        <v>5</v>
      </c>
      <c r="B30" t="s">
        <v>60</v>
      </c>
      <c r="C30">
        <v>0.68013128911007403</v>
      </c>
      <c r="D30" t="s">
        <v>55</v>
      </c>
      <c r="E30" t="s">
        <v>18</v>
      </c>
      <c r="F30" t="s">
        <v>59</v>
      </c>
    </row>
    <row r="31" spans="1:6" x14ac:dyDescent="0.2">
      <c r="A31" t="s">
        <v>5</v>
      </c>
      <c r="B31" t="s">
        <v>62</v>
      </c>
      <c r="C31">
        <v>0.66423959769338503</v>
      </c>
      <c r="D31" t="s">
        <v>55</v>
      </c>
      <c r="E31" t="s">
        <v>18</v>
      </c>
      <c r="F31" t="s">
        <v>61</v>
      </c>
    </row>
    <row r="32" spans="1:6" x14ac:dyDescent="0.2">
      <c r="A32" t="s">
        <v>5</v>
      </c>
      <c r="B32" t="s">
        <v>64</v>
      </c>
      <c r="C32">
        <v>0.64498682004774999</v>
      </c>
      <c r="D32" t="s">
        <v>55</v>
      </c>
      <c r="E32" t="s">
        <v>23</v>
      </c>
      <c r="F32" t="s">
        <v>63</v>
      </c>
    </row>
    <row r="33" spans="1:6" x14ac:dyDescent="0.2">
      <c r="A33" t="s">
        <v>5</v>
      </c>
      <c r="B33" t="s">
        <v>66</v>
      </c>
      <c r="C33">
        <v>0.64369233128530801</v>
      </c>
      <c r="D33" t="s">
        <v>55</v>
      </c>
      <c r="E33" t="s">
        <v>23</v>
      </c>
      <c r="F33" t="s">
        <v>65</v>
      </c>
    </row>
    <row r="34" spans="1:6" x14ac:dyDescent="0.2">
      <c r="A34" t="s">
        <v>5</v>
      </c>
      <c r="B34" t="s">
        <v>68</v>
      </c>
      <c r="C34">
        <v>0.62964873547690903</v>
      </c>
      <c r="D34" t="s">
        <v>55</v>
      </c>
      <c r="E34" t="s">
        <v>18</v>
      </c>
      <c r="F34" t="s">
        <v>67</v>
      </c>
    </row>
    <row r="35" spans="1:6" x14ac:dyDescent="0.2">
      <c r="A35" t="s">
        <v>5</v>
      </c>
      <c r="B35" t="s">
        <v>70</v>
      </c>
      <c r="C35">
        <v>0.60870378648390699</v>
      </c>
      <c r="D35" t="s">
        <v>55</v>
      </c>
      <c r="E35" t="s">
        <v>23</v>
      </c>
      <c r="F35" t="s">
        <v>69</v>
      </c>
    </row>
    <row r="36" spans="1:6" x14ac:dyDescent="0.2">
      <c r="A36" t="s">
        <v>6</v>
      </c>
      <c r="B36" t="s">
        <v>72</v>
      </c>
      <c r="C36">
        <v>1</v>
      </c>
      <c r="D36" t="s">
        <v>0</v>
      </c>
      <c r="E36" t="s">
        <v>18</v>
      </c>
      <c r="F36" t="s">
        <v>71</v>
      </c>
    </row>
    <row r="37" spans="1:6" x14ac:dyDescent="0.2">
      <c r="A37" t="s">
        <v>6</v>
      </c>
      <c r="B37" t="s">
        <v>74</v>
      </c>
      <c r="C37">
        <v>1</v>
      </c>
      <c r="D37" t="s">
        <v>1</v>
      </c>
      <c r="E37" t="s">
        <v>18</v>
      </c>
      <c r="F37" t="s">
        <v>73</v>
      </c>
    </row>
    <row r="38" spans="1:6" x14ac:dyDescent="0.2">
      <c r="A38" t="s">
        <v>6</v>
      </c>
      <c r="B38" t="s">
        <v>76</v>
      </c>
      <c r="C38">
        <v>0.93589919254996201</v>
      </c>
      <c r="D38" t="s">
        <v>1</v>
      </c>
      <c r="E38" t="s">
        <v>18</v>
      </c>
      <c r="F38" t="s">
        <v>75</v>
      </c>
    </row>
    <row r="39" spans="1:6" x14ac:dyDescent="0.2">
      <c r="A39" t="s">
        <v>6</v>
      </c>
      <c r="B39" t="s">
        <v>78</v>
      </c>
      <c r="C39">
        <v>0.63309610649105297</v>
      </c>
      <c r="D39" t="s">
        <v>1</v>
      </c>
      <c r="E39" t="s">
        <v>23</v>
      </c>
      <c r="F39" t="s">
        <v>77</v>
      </c>
    </row>
    <row r="40" spans="1:6" x14ac:dyDescent="0.2">
      <c r="A40" t="s">
        <v>6</v>
      </c>
      <c r="B40" t="s">
        <v>80</v>
      </c>
      <c r="C40">
        <v>0.63070624964049005</v>
      </c>
      <c r="D40" t="s">
        <v>1</v>
      </c>
      <c r="E40" t="s">
        <v>23</v>
      </c>
      <c r="F40" t="s">
        <v>79</v>
      </c>
    </row>
    <row r="41" spans="1:6" x14ac:dyDescent="0.2">
      <c r="A41" t="s">
        <v>6</v>
      </c>
      <c r="B41" t="s">
        <v>82</v>
      </c>
      <c r="C41">
        <v>0.59808189270686396</v>
      </c>
      <c r="D41" t="s">
        <v>1</v>
      </c>
      <c r="E41" t="s">
        <v>23</v>
      </c>
      <c r="F41" t="s">
        <v>81</v>
      </c>
    </row>
    <row r="42" spans="1:6" x14ac:dyDescent="0.2">
      <c r="A42" t="s">
        <v>6</v>
      </c>
      <c r="B42" t="s">
        <v>84</v>
      </c>
      <c r="C42">
        <v>0.57632290234968198</v>
      </c>
      <c r="D42" t="s">
        <v>1</v>
      </c>
      <c r="E42" t="s">
        <v>23</v>
      </c>
      <c r="F42" t="s">
        <v>83</v>
      </c>
    </row>
    <row r="43" spans="1:6" x14ac:dyDescent="0.2">
      <c r="A43" t="s">
        <v>6</v>
      </c>
      <c r="B43" t="s">
        <v>86</v>
      </c>
      <c r="C43">
        <v>0.57518846322933903</v>
      </c>
      <c r="D43" t="s">
        <v>1</v>
      </c>
      <c r="E43" t="s">
        <v>23</v>
      </c>
      <c r="F43" t="s">
        <v>85</v>
      </c>
    </row>
    <row r="44" spans="1:6" x14ac:dyDescent="0.2">
      <c r="A44" t="s">
        <v>6</v>
      </c>
      <c r="B44" t="s">
        <v>88</v>
      </c>
      <c r="C44">
        <v>0.56786894798120602</v>
      </c>
      <c r="D44" t="s">
        <v>1</v>
      </c>
      <c r="E44" t="s">
        <v>23</v>
      </c>
      <c r="F44" t="s">
        <v>87</v>
      </c>
    </row>
    <row r="45" spans="1:6" x14ac:dyDescent="0.2">
      <c r="A45" t="s">
        <v>6</v>
      </c>
      <c r="B45" t="s">
        <v>90</v>
      </c>
      <c r="C45">
        <v>1</v>
      </c>
      <c r="D45" t="s">
        <v>45</v>
      </c>
      <c r="E45" t="s">
        <v>23</v>
      </c>
      <c r="F45" t="s">
        <v>89</v>
      </c>
    </row>
    <row r="46" spans="1:6" x14ac:dyDescent="0.2">
      <c r="A46" t="s">
        <v>6</v>
      </c>
      <c r="B46" t="s">
        <v>92</v>
      </c>
      <c r="C46">
        <v>0.97597466921620901</v>
      </c>
      <c r="D46" t="s">
        <v>45</v>
      </c>
      <c r="E46" t="s">
        <v>23</v>
      </c>
      <c r="F46" t="s">
        <v>91</v>
      </c>
    </row>
    <row r="47" spans="1:6" x14ac:dyDescent="0.2">
      <c r="A47" t="s">
        <v>6</v>
      </c>
      <c r="B47" t="s">
        <v>94</v>
      </c>
      <c r="C47">
        <v>0.93094045905508704</v>
      </c>
      <c r="D47" t="s">
        <v>45</v>
      </c>
      <c r="E47" t="s">
        <v>23</v>
      </c>
      <c r="F47" t="s">
        <v>93</v>
      </c>
    </row>
    <row r="48" spans="1:6" x14ac:dyDescent="0.2">
      <c r="A48" t="s">
        <v>6</v>
      </c>
      <c r="B48" t="s">
        <v>96</v>
      </c>
      <c r="C48">
        <v>0.90483017916161002</v>
      </c>
      <c r="D48" t="s">
        <v>45</v>
      </c>
      <c r="E48" t="s">
        <v>23</v>
      </c>
      <c r="F48" t="s">
        <v>95</v>
      </c>
    </row>
    <row r="49" spans="1:6" x14ac:dyDescent="0.2">
      <c r="A49" t="s">
        <v>6</v>
      </c>
      <c r="B49" t="s">
        <v>98</v>
      </c>
      <c r="C49">
        <v>0.90426340980053699</v>
      </c>
      <c r="D49" t="s">
        <v>45</v>
      </c>
      <c r="E49" t="s">
        <v>23</v>
      </c>
      <c r="F49" t="s">
        <v>97</v>
      </c>
    </row>
    <row r="50" spans="1:6" x14ac:dyDescent="0.2">
      <c r="A50" t="s">
        <v>6</v>
      </c>
      <c r="B50" t="s">
        <v>100</v>
      </c>
      <c r="C50">
        <v>0.88825973160090299</v>
      </c>
      <c r="D50" t="s">
        <v>45</v>
      </c>
      <c r="E50" t="s">
        <v>23</v>
      </c>
      <c r="F50" t="s">
        <v>99</v>
      </c>
    </row>
    <row r="51" spans="1:6" x14ac:dyDescent="0.2">
      <c r="A51" t="s">
        <v>6</v>
      </c>
      <c r="B51" t="s">
        <v>102</v>
      </c>
      <c r="C51">
        <v>0.88807889787439498</v>
      </c>
      <c r="D51" t="s">
        <v>45</v>
      </c>
      <c r="E51" t="s">
        <v>23</v>
      </c>
      <c r="F51" t="s">
        <v>101</v>
      </c>
    </row>
    <row r="52" spans="1:6" x14ac:dyDescent="0.2">
      <c r="A52" t="s">
        <v>6</v>
      </c>
      <c r="B52" t="s">
        <v>104</v>
      </c>
      <c r="C52">
        <v>0.87310819925764105</v>
      </c>
      <c r="D52" t="s">
        <v>45</v>
      </c>
      <c r="E52" t="s">
        <v>23</v>
      </c>
      <c r="F52" t="s">
        <v>103</v>
      </c>
    </row>
    <row r="53" spans="1:6" x14ac:dyDescent="0.2">
      <c r="A53" t="s">
        <v>6</v>
      </c>
      <c r="B53" t="s">
        <v>106</v>
      </c>
      <c r="C53">
        <v>0.863465618753538</v>
      </c>
      <c r="D53" t="s">
        <v>45</v>
      </c>
      <c r="E53" t="s">
        <v>23</v>
      </c>
      <c r="F53" t="s">
        <v>105</v>
      </c>
    </row>
    <row r="54" spans="1:6" x14ac:dyDescent="0.2">
      <c r="A54" t="s">
        <v>6</v>
      </c>
      <c r="B54" t="s">
        <v>108</v>
      </c>
      <c r="C54">
        <v>0.85620949961319304</v>
      </c>
      <c r="D54" t="s">
        <v>45</v>
      </c>
      <c r="E54" t="s">
        <v>23</v>
      </c>
      <c r="F54" t="s">
        <v>107</v>
      </c>
    </row>
    <row r="55" spans="1:6" x14ac:dyDescent="0.2">
      <c r="A55" t="s">
        <v>6</v>
      </c>
      <c r="B55" t="s">
        <v>108</v>
      </c>
      <c r="C55">
        <v>1</v>
      </c>
      <c r="D55" t="s">
        <v>55</v>
      </c>
      <c r="E55" t="s">
        <v>23</v>
      </c>
      <c r="F55" t="s">
        <v>109</v>
      </c>
    </row>
    <row r="56" spans="1:6" x14ac:dyDescent="0.2">
      <c r="A56" t="s">
        <v>6</v>
      </c>
      <c r="B56" t="s">
        <v>111</v>
      </c>
      <c r="C56">
        <v>0.99837669423387898</v>
      </c>
      <c r="D56" t="s">
        <v>55</v>
      </c>
      <c r="E56" t="s">
        <v>23</v>
      </c>
      <c r="F56" t="s">
        <v>110</v>
      </c>
    </row>
    <row r="57" spans="1:6" x14ac:dyDescent="0.2">
      <c r="A57" t="s">
        <v>6</v>
      </c>
      <c r="B57" t="s">
        <v>106</v>
      </c>
      <c r="C57">
        <v>0.94955273689997899</v>
      </c>
      <c r="D57" t="s">
        <v>55</v>
      </c>
      <c r="E57" t="s">
        <v>23</v>
      </c>
      <c r="F57" t="s">
        <v>112</v>
      </c>
    </row>
    <row r="58" spans="1:6" x14ac:dyDescent="0.2">
      <c r="A58" t="s">
        <v>6</v>
      </c>
      <c r="B58" t="s">
        <v>114</v>
      </c>
      <c r="C58">
        <v>0.88659916434646902</v>
      </c>
      <c r="D58" t="s">
        <v>55</v>
      </c>
      <c r="E58" t="s">
        <v>23</v>
      </c>
      <c r="F58" t="s">
        <v>113</v>
      </c>
    </row>
    <row r="59" spans="1:6" x14ac:dyDescent="0.2">
      <c r="A59" t="s">
        <v>6</v>
      </c>
      <c r="B59" t="s">
        <v>116</v>
      </c>
      <c r="C59">
        <v>0.88470732577681499</v>
      </c>
      <c r="D59" t="s">
        <v>55</v>
      </c>
      <c r="E59" t="s">
        <v>23</v>
      </c>
      <c r="F59" t="s">
        <v>115</v>
      </c>
    </row>
    <row r="60" spans="1:6" x14ac:dyDescent="0.2">
      <c r="A60" t="s">
        <v>6</v>
      </c>
      <c r="B60" t="s">
        <v>118</v>
      </c>
      <c r="C60">
        <v>0.87535289812954697</v>
      </c>
      <c r="D60" t="s">
        <v>55</v>
      </c>
      <c r="E60" t="s">
        <v>23</v>
      </c>
      <c r="F60" t="s">
        <v>117</v>
      </c>
    </row>
    <row r="61" spans="1:6" x14ac:dyDescent="0.2">
      <c r="A61" t="s">
        <v>6</v>
      </c>
      <c r="B61" t="s">
        <v>120</v>
      </c>
      <c r="C61">
        <v>0.86664589615343202</v>
      </c>
      <c r="D61" t="s">
        <v>55</v>
      </c>
      <c r="E61" t="s">
        <v>23</v>
      </c>
      <c r="F61" t="s">
        <v>119</v>
      </c>
    </row>
    <row r="62" spans="1:6" x14ac:dyDescent="0.2">
      <c r="A62" t="s">
        <v>6</v>
      </c>
      <c r="B62" t="s">
        <v>122</v>
      </c>
      <c r="C62">
        <v>0.85446441422582897</v>
      </c>
      <c r="D62" t="s">
        <v>55</v>
      </c>
      <c r="E62" t="s">
        <v>23</v>
      </c>
      <c r="F62" t="s">
        <v>121</v>
      </c>
    </row>
    <row r="63" spans="1:6" x14ac:dyDescent="0.2">
      <c r="A63" t="s">
        <v>6</v>
      </c>
      <c r="B63" t="s">
        <v>124</v>
      </c>
      <c r="C63">
        <v>0.85376853171873701</v>
      </c>
      <c r="D63" t="s">
        <v>55</v>
      </c>
      <c r="E63" t="s">
        <v>23</v>
      </c>
      <c r="F63" t="s">
        <v>123</v>
      </c>
    </row>
    <row r="64" spans="1:6" x14ac:dyDescent="0.2">
      <c r="A64" t="s">
        <v>6</v>
      </c>
      <c r="B64" t="s">
        <v>126</v>
      </c>
      <c r="C64">
        <v>0.84716035770083098</v>
      </c>
      <c r="D64" t="s">
        <v>55</v>
      </c>
      <c r="E64" t="s">
        <v>23</v>
      </c>
      <c r="F64" t="s">
        <v>125</v>
      </c>
    </row>
    <row r="65" spans="1:6" x14ac:dyDescent="0.2">
      <c r="A65" t="s">
        <v>7</v>
      </c>
      <c r="B65" t="s">
        <v>128</v>
      </c>
      <c r="C65">
        <v>1</v>
      </c>
      <c r="D65" t="s">
        <v>0</v>
      </c>
      <c r="E65" t="s">
        <v>18</v>
      </c>
      <c r="F65" t="s">
        <v>127</v>
      </c>
    </row>
    <row r="66" spans="1:6" x14ac:dyDescent="0.2">
      <c r="A66" t="s">
        <v>7</v>
      </c>
      <c r="B66" t="s">
        <v>129</v>
      </c>
      <c r="C66">
        <v>0.99878401408787798</v>
      </c>
      <c r="D66" t="s">
        <v>0</v>
      </c>
      <c r="E66" t="s">
        <v>18</v>
      </c>
      <c r="F66" t="s">
        <v>129</v>
      </c>
    </row>
    <row r="67" spans="1:6" x14ac:dyDescent="0.2">
      <c r="A67" t="s">
        <v>7</v>
      </c>
      <c r="B67" t="s">
        <v>128</v>
      </c>
      <c r="C67">
        <v>0.99785018384907997</v>
      </c>
      <c r="D67" t="s">
        <v>0</v>
      </c>
      <c r="E67" t="s">
        <v>18</v>
      </c>
      <c r="F67" t="s">
        <v>130</v>
      </c>
    </row>
    <row r="68" spans="1:6" x14ac:dyDescent="0.2">
      <c r="A68" t="s">
        <v>7</v>
      </c>
      <c r="B68" t="s">
        <v>132</v>
      </c>
      <c r="C68">
        <v>0.95130388131781696</v>
      </c>
      <c r="D68" t="s">
        <v>0</v>
      </c>
      <c r="E68" t="s">
        <v>18</v>
      </c>
      <c r="F68" t="s">
        <v>131</v>
      </c>
    </row>
    <row r="69" spans="1:6" x14ac:dyDescent="0.2">
      <c r="A69" t="s">
        <v>7</v>
      </c>
      <c r="B69" t="s">
        <v>134</v>
      </c>
      <c r="C69">
        <v>0.92186660638076501</v>
      </c>
      <c r="D69" t="s">
        <v>0</v>
      </c>
      <c r="E69" t="s">
        <v>18</v>
      </c>
      <c r="F69" t="s">
        <v>133</v>
      </c>
    </row>
    <row r="70" spans="1:6" x14ac:dyDescent="0.2">
      <c r="A70" t="s">
        <v>7</v>
      </c>
      <c r="B70" t="s">
        <v>136</v>
      </c>
      <c r="C70">
        <v>0.91212839186261496</v>
      </c>
      <c r="D70" t="s">
        <v>0</v>
      </c>
      <c r="E70" t="s">
        <v>18</v>
      </c>
      <c r="F70" t="s">
        <v>135</v>
      </c>
    </row>
    <row r="71" spans="1:6" x14ac:dyDescent="0.2">
      <c r="A71" t="s">
        <v>7</v>
      </c>
      <c r="B71" t="s">
        <v>137</v>
      </c>
      <c r="C71">
        <v>0.89774532351555802</v>
      </c>
      <c r="D71" t="s">
        <v>0</v>
      </c>
      <c r="E71" t="s">
        <v>18</v>
      </c>
      <c r="F71" t="s">
        <v>137</v>
      </c>
    </row>
    <row r="72" spans="1:6" x14ac:dyDescent="0.2">
      <c r="A72" t="s">
        <v>7</v>
      </c>
      <c r="B72" t="s">
        <v>138</v>
      </c>
      <c r="C72">
        <v>0.86029266292141005</v>
      </c>
      <c r="D72" t="s">
        <v>0</v>
      </c>
      <c r="E72" t="s">
        <v>18</v>
      </c>
      <c r="F72" t="s">
        <v>138</v>
      </c>
    </row>
    <row r="73" spans="1:6" x14ac:dyDescent="0.2">
      <c r="A73" t="s">
        <v>7</v>
      </c>
      <c r="B73" t="s">
        <v>140</v>
      </c>
      <c r="C73">
        <v>0.84794822440602402</v>
      </c>
      <c r="D73" t="s">
        <v>0</v>
      </c>
      <c r="E73" t="s">
        <v>18</v>
      </c>
      <c r="F73" t="s">
        <v>139</v>
      </c>
    </row>
    <row r="74" spans="1:6" x14ac:dyDescent="0.2">
      <c r="A74" t="s">
        <v>7</v>
      </c>
      <c r="B74" t="s">
        <v>142</v>
      </c>
      <c r="C74">
        <v>0.84265049830001704</v>
      </c>
      <c r="D74" t="s">
        <v>0</v>
      </c>
      <c r="E74" t="s">
        <v>18</v>
      </c>
      <c r="F74" t="s">
        <v>141</v>
      </c>
    </row>
    <row r="75" spans="1:6" x14ac:dyDescent="0.2">
      <c r="A75" t="s">
        <v>7</v>
      </c>
      <c r="B75" t="s">
        <v>38</v>
      </c>
      <c r="C75">
        <v>1</v>
      </c>
      <c r="D75" t="s">
        <v>2</v>
      </c>
      <c r="E75" t="s">
        <v>18</v>
      </c>
      <c r="F75" t="s">
        <v>38</v>
      </c>
    </row>
    <row r="76" spans="1:6" x14ac:dyDescent="0.2">
      <c r="A76" t="s">
        <v>7</v>
      </c>
      <c r="B76" t="s">
        <v>143</v>
      </c>
      <c r="C76">
        <v>0.31695210652625899</v>
      </c>
      <c r="D76" t="s">
        <v>2</v>
      </c>
      <c r="E76" t="s">
        <v>18</v>
      </c>
      <c r="F76" t="s">
        <v>143</v>
      </c>
    </row>
    <row r="77" spans="1:6" x14ac:dyDescent="0.2">
      <c r="A77" t="s">
        <v>7</v>
      </c>
      <c r="B77" t="s">
        <v>145</v>
      </c>
      <c r="C77">
        <v>1</v>
      </c>
      <c r="D77" t="s">
        <v>45</v>
      </c>
      <c r="E77" t="s">
        <v>23</v>
      </c>
      <c r="F77" t="s">
        <v>144</v>
      </c>
    </row>
    <row r="78" spans="1:6" x14ac:dyDescent="0.2">
      <c r="A78" t="s">
        <v>7</v>
      </c>
      <c r="B78" t="s">
        <v>128</v>
      </c>
      <c r="C78">
        <v>1</v>
      </c>
      <c r="D78" t="s">
        <v>55</v>
      </c>
      <c r="E78" t="s">
        <v>23</v>
      </c>
      <c r="F78" t="s">
        <v>146</v>
      </c>
    </row>
    <row r="79" spans="1:6" x14ac:dyDescent="0.2">
      <c r="A79" t="s">
        <v>7</v>
      </c>
      <c r="B79" t="s">
        <v>145</v>
      </c>
      <c r="C79">
        <v>0.96252937913417203</v>
      </c>
      <c r="D79" t="s">
        <v>55</v>
      </c>
      <c r="E79" t="s">
        <v>23</v>
      </c>
      <c r="F79" t="s">
        <v>147</v>
      </c>
    </row>
    <row r="80" spans="1:6" x14ac:dyDescent="0.2">
      <c r="A80" t="s">
        <v>8</v>
      </c>
      <c r="B80" t="s">
        <v>149</v>
      </c>
      <c r="C80">
        <v>1</v>
      </c>
      <c r="D80" t="s">
        <v>1</v>
      </c>
      <c r="E80" t="s">
        <v>23</v>
      </c>
      <c r="F80" t="s">
        <v>148</v>
      </c>
    </row>
    <row r="81" spans="1:6" x14ac:dyDescent="0.2">
      <c r="A81" t="s">
        <v>8</v>
      </c>
      <c r="B81" t="s">
        <v>151</v>
      </c>
      <c r="C81">
        <v>1</v>
      </c>
      <c r="D81" t="s">
        <v>45</v>
      </c>
      <c r="E81" t="s">
        <v>18</v>
      </c>
      <c r="F81" t="s">
        <v>150</v>
      </c>
    </row>
    <row r="82" spans="1:6" x14ac:dyDescent="0.2">
      <c r="A82" t="s">
        <v>8</v>
      </c>
      <c r="B82" t="s">
        <v>153</v>
      </c>
      <c r="C82">
        <v>0.95249588254417605</v>
      </c>
      <c r="D82" t="s">
        <v>45</v>
      </c>
      <c r="E82" t="s">
        <v>18</v>
      </c>
      <c r="F82" t="s">
        <v>152</v>
      </c>
    </row>
    <row r="83" spans="1:6" x14ac:dyDescent="0.2">
      <c r="A83" t="s">
        <v>8</v>
      </c>
      <c r="B83" t="s">
        <v>155</v>
      </c>
      <c r="C83">
        <v>0.91016578723073005</v>
      </c>
      <c r="D83" t="s">
        <v>45</v>
      </c>
      <c r="E83" t="s">
        <v>18</v>
      </c>
      <c r="F83" t="s">
        <v>154</v>
      </c>
    </row>
    <row r="84" spans="1:6" x14ac:dyDescent="0.2">
      <c r="A84" t="s">
        <v>8</v>
      </c>
      <c r="B84" t="s">
        <v>157</v>
      </c>
      <c r="C84">
        <v>0.88072105564518699</v>
      </c>
      <c r="D84" t="s">
        <v>45</v>
      </c>
      <c r="E84" t="s">
        <v>18</v>
      </c>
      <c r="F84" t="s">
        <v>156</v>
      </c>
    </row>
    <row r="85" spans="1:6" x14ac:dyDescent="0.2">
      <c r="A85" t="s">
        <v>8</v>
      </c>
      <c r="B85" t="s">
        <v>159</v>
      </c>
      <c r="C85">
        <v>0.87642090573738196</v>
      </c>
      <c r="D85" t="s">
        <v>45</v>
      </c>
      <c r="E85" t="s">
        <v>18</v>
      </c>
      <c r="F85" t="s">
        <v>158</v>
      </c>
    </row>
    <row r="86" spans="1:6" x14ac:dyDescent="0.2">
      <c r="A86" t="s">
        <v>8</v>
      </c>
      <c r="B86" t="s">
        <v>161</v>
      </c>
      <c r="C86">
        <v>0.86794171119362895</v>
      </c>
      <c r="D86" t="s">
        <v>45</v>
      </c>
      <c r="E86" t="s">
        <v>18</v>
      </c>
      <c r="F86" t="s">
        <v>160</v>
      </c>
    </row>
    <row r="87" spans="1:6" x14ac:dyDescent="0.2">
      <c r="A87" t="s">
        <v>8</v>
      </c>
      <c r="B87" t="s">
        <v>163</v>
      </c>
      <c r="C87">
        <v>0.863267193594497</v>
      </c>
      <c r="D87" t="s">
        <v>45</v>
      </c>
      <c r="E87" t="s">
        <v>18</v>
      </c>
      <c r="F87" t="s">
        <v>162</v>
      </c>
    </row>
    <row r="88" spans="1:6" x14ac:dyDescent="0.2">
      <c r="A88" t="s">
        <v>8</v>
      </c>
      <c r="B88" t="s">
        <v>165</v>
      </c>
      <c r="C88">
        <v>1</v>
      </c>
      <c r="D88" t="s">
        <v>55</v>
      </c>
      <c r="E88" t="s">
        <v>18</v>
      </c>
      <c r="F88" t="s">
        <v>164</v>
      </c>
    </row>
    <row r="89" spans="1:6" x14ac:dyDescent="0.2">
      <c r="A89" t="s">
        <v>8</v>
      </c>
      <c r="B89" t="s">
        <v>167</v>
      </c>
      <c r="C89">
        <v>0.98279262741534801</v>
      </c>
      <c r="D89" t="s">
        <v>55</v>
      </c>
      <c r="E89" t="s">
        <v>18</v>
      </c>
      <c r="F89" t="s">
        <v>166</v>
      </c>
    </row>
    <row r="90" spans="1:6" x14ac:dyDescent="0.2">
      <c r="A90" t="s">
        <v>8</v>
      </c>
      <c r="B90" t="s">
        <v>169</v>
      </c>
      <c r="C90">
        <v>0.96531229611751401</v>
      </c>
      <c r="D90" t="s">
        <v>55</v>
      </c>
      <c r="E90" t="s">
        <v>18</v>
      </c>
      <c r="F90" t="s">
        <v>168</v>
      </c>
    </row>
    <row r="91" spans="1:6" x14ac:dyDescent="0.2">
      <c r="A91" t="s">
        <v>8</v>
      </c>
      <c r="B91" t="s">
        <v>155</v>
      </c>
      <c r="C91">
        <v>0.96325532247215395</v>
      </c>
      <c r="D91" t="s">
        <v>55</v>
      </c>
      <c r="E91" t="s">
        <v>18</v>
      </c>
      <c r="F91" t="s">
        <v>170</v>
      </c>
    </row>
    <row r="92" spans="1:6" x14ac:dyDescent="0.2">
      <c r="A92" t="s">
        <v>8</v>
      </c>
      <c r="B92" t="s">
        <v>172</v>
      </c>
      <c r="C92">
        <v>0.96126544050599005</v>
      </c>
      <c r="D92" t="s">
        <v>55</v>
      </c>
      <c r="E92" t="s">
        <v>18</v>
      </c>
      <c r="F92" t="s">
        <v>171</v>
      </c>
    </row>
    <row r="93" spans="1:6" x14ac:dyDescent="0.2">
      <c r="A93" t="s">
        <v>8</v>
      </c>
      <c r="B93" t="s">
        <v>174</v>
      </c>
      <c r="C93">
        <v>0.94400825876175498</v>
      </c>
      <c r="D93" t="s">
        <v>55</v>
      </c>
      <c r="E93" t="s">
        <v>18</v>
      </c>
      <c r="F93" t="s">
        <v>173</v>
      </c>
    </row>
    <row r="94" spans="1:6" x14ac:dyDescent="0.2">
      <c r="A94" t="s">
        <v>9</v>
      </c>
      <c r="B94" t="s">
        <v>176</v>
      </c>
      <c r="C94">
        <v>1</v>
      </c>
      <c r="D94" t="s">
        <v>1</v>
      </c>
      <c r="E94" t="s">
        <v>23</v>
      </c>
      <c r="F94" t="s">
        <v>175</v>
      </c>
    </row>
    <row r="95" spans="1:6" x14ac:dyDescent="0.2">
      <c r="A95" t="s">
        <v>9</v>
      </c>
      <c r="B95" t="s">
        <v>178</v>
      </c>
      <c r="C95">
        <v>0.93015186158485497</v>
      </c>
      <c r="D95" t="s">
        <v>1</v>
      </c>
      <c r="E95" t="s">
        <v>23</v>
      </c>
      <c r="F95" t="s">
        <v>177</v>
      </c>
    </row>
    <row r="96" spans="1:6" x14ac:dyDescent="0.2">
      <c r="A96" t="s">
        <v>9</v>
      </c>
      <c r="B96" t="s">
        <v>180</v>
      </c>
      <c r="C96">
        <v>1</v>
      </c>
      <c r="D96" t="s">
        <v>45</v>
      </c>
      <c r="E96" t="s">
        <v>18</v>
      </c>
      <c r="F96" t="s">
        <v>179</v>
      </c>
    </row>
    <row r="97" spans="1:6" x14ac:dyDescent="0.2">
      <c r="A97" t="s">
        <v>9</v>
      </c>
      <c r="B97" t="s">
        <v>182</v>
      </c>
      <c r="C97">
        <v>0.94124136787482304</v>
      </c>
      <c r="D97" t="s">
        <v>45</v>
      </c>
      <c r="E97" t="s">
        <v>18</v>
      </c>
      <c r="F97" t="s">
        <v>181</v>
      </c>
    </row>
    <row r="98" spans="1:6" x14ac:dyDescent="0.2">
      <c r="A98" t="s">
        <v>9</v>
      </c>
      <c r="B98" t="s">
        <v>184</v>
      </c>
      <c r="C98">
        <v>0.939002557699957</v>
      </c>
      <c r="D98" t="s">
        <v>45</v>
      </c>
      <c r="E98" t="s">
        <v>18</v>
      </c>
      <c r="F98" t="s">
        <v>183</v>
      </c>
    </row>
    <row r="99" spans="1:6" x14ac:dyDescent="0.2">
      <c r="A99" t="s">
        <v>9</v>
      </c>
      <c r="B99" t="s">
        <v>186</v>
      </c>
      <c r="C99">
        <v>0.92381805363255498</v>
      </c>
      <c r="D99" t="s">
        <v>45</v>
      </c>
      <c r="E99" t="s">
        <v>18</v>
      </c>
      <c r="F99" t="s">
        <v>185</v>
      </c>
    </row>
    <row r="100" spans="1:6" x14ac:dyDescent="0.2">
      <c r="A100" t="s">
        <v>9</v>
      </c>
      <c r="B100" t="s">
        <v>188</v>
      </c>
      <c r="C100">
        <v>0.92113065629200896</v>
      </c>
      <c r="D100" t="s">
        <v>45</v>
      </c>
      <c r="E100" t="s">
        <v>18</v>
      </c>
      <c r="F100" t="s">
        <v>187</v>
      </c>
    </row>
    <row r="101" spans="1:6" x14ac:dyDescent="0.2">
      <c r="A101" t="s">
        <v>9</v>
      </c>
      <c r="B101" t="s">
        <v>190</v>
      </c>
      <c r="C101">
        <v>1</v>
      </c>
      <c r="D101" t="s">
        <v>55</v>
      </c>
      <c r="E101" t="s">
        <v>18</v>
      </c>
      <c r="F101" t="s">
        <v>189</v>
      </c>
    </row>
    <row r="102" spans="1:6" x14ac:dyDescent="0.2">
      <c r="A102" t="s">
        <v>9</v>
      </c>
      <c r="B102" t="s">
        <v>192</v>
      </c>
      <c r="C102">
        <v>0.94727506818052698</v>
      </c>
      <c r="D102" t="s">
        <v>55</v>
      </c>
      <c r="E102" t="s">
        <v>18</v>
      </c>
      <c r="F102" t="s">
        <v>191</v>
      </c>
    </row>
    <row r="103" spans="1:6" x14ac:dyDescent="0.2">
      <c r="A103" t="s">
        <v>9</v>
      </c>
      <c r="B103" t="s">
        <v>194</v>
      </c>
      <c r="C103">
        <v>0.92044727347560695</v>
      </c>
      <c r="D103" t="s">
        <v>55</v>
      </c>
      <c r="E103" t="s">
        <v>18</v>
      </c>
      <c r="F103" t="s">
        <v>193</v>
      </c>
    </row>
    <row r="104" spans="1:6" x14ac:dyDescent="0.2">
      <c r="A104" t="s">
        <v>9</v>
      </c>
      <c r="B104" t="s">
        <v>196</v>
      </c>
      <c r="C104">
        <v>0.91576112813863497</v>
      </c>
      <c r="D104" t="s">
        <v>55</v>
      </c>
      <c r="E104" t="s">
        <v>18</v>
      </c>
      <c r="F104" t="s">
        <v>195</v>
      </c>
    </row>
    <row r="105" spans="1:6" x14ac:dyDescent="0.2">
      <c r="A105" t="s">
        <v>10</v>
      </c>
      <c r="B105" t="s">
        <v>198</v>
      </c>
      <c r="C105">
        <v>1</v>
      </c>
      <c r="D105" t="s">
        <v>0</v>
      </c>
      <c r="E105" t="s">
        <v>18</v>
      </c>
      <c r="F105" t="s">
        <v>197</v>
      </c>
    </row>
    <row r="106" spans="1:6" x14ac:dyDescent="0.2">
      <c r="A106" t="s">
        <v>10</v>
      </c>
      <c r="B106" t="s">
        <v>200</v>
      </c>
      <c r="C106">
        <v>0.96306442474343101</v>
      </c>
      <c r="D106" t="s">
        <v>0</v>
      </c>
      <c r="E106" t="s">
        <v>18</v>
      </c>
      <c r="F106" t="s">
        <v>199</v>
      </c>
    </row>
    <row r="107" spans="1:6" x14ac:dyDescent="0.2">
      <c r="A107" t="s">
        <v>10</v>
      </c>
      <c r="B107" t="s">
        <v>202</v>
      </c>
      <c r="C107">
        <v>0.939822123520337</v>
      </c>
      <c r="D107" t="s">
        <v>0</v>
      </c>
      <c r="E107" t="s">
        <v>18</v>
      </c>
      <c r="F107" t="s">
        <v>201</v>
      </c>
    </row>
    <row r="108" spans="1:6" x14ac:dyDescent="0.2">
      <c r="A108" t="s">
        <v>10</v>
      </c>
      <c r="B108" t="s">
        <v>204</v>
      </c>
      <c r="C108">
        <v>0.93924050013342397</v>
      </c>
      <c r="D108" t="s">
        <v>0</v>
      </c>
      <c r="E108" t="s">
        <v>18</v>
      </c>
      <c r="F108" t="s">
        <v>203</v>
      </c>
    </row>
    <row r="109" spans="1:6" x14ac:dyDescent="0.2">
      <c r="A109" t="s">
        <v>10</v>
      </c>
      <c r="B109" t="s">
        <v>206</v>
      </c>
      <c r="C109">
        <v>0.93413514669529496</v>
      </c>
      <c r="D109" t="s">
        <v>0</v>
      </c>
      <c r="E109" t="s">
        <v>18</v>
      </c>
      <c r="F109" t="s">
        <v>205</v>
      </c>
    </row>
    <row r="110" spans="1:6" x14ac:dyDescent="0.2">
      <c r="A110" t="s">
        <v>10</v>
      </c>
      <c r="B110" t="s">
        <v>208</v>
      </c>
      <c r="C110">
        <v>0.93071670390972505</v>
      </c>
      <c r="D110" t="s">
        <v>0</v>
      </c>
      <c r="E110" t="s">
        <v>18</v>
      </c>
      <c r="F110" t="s">
        <v>207</v>
      </c>
    </row>
    <row r="111" spans="1:6" x14ac:dyDescent="0.2">
      <c r="A111" t="s">
        <v>10</v>
      </c>
      <c r="B111" t="s">
        <v>210</v>
      </c>
      <c r="C111">
        <v>0.92249063481312399</v>
      </c>
      <c r="D111" t="s">
        <v>0</v>
      </c>
      <c r="E111" t="s">
        <v>18</v>
      </c>
      <c r="F111" t="s">
        <v>209</v>
      </c>
    </row>
    <row r="112" spans="1:6" x14ac:dyDescent="0.2">
      <c r="A112" t="s">
        <v>10</v>
      </c>
      <c r="B112" t="s">
        <v>212</v>
      </c>
      <c r="C112">
        <v>0.91941051738977497</v>
      </c>
      <c r="D112" t="s">
        <v>0</v>
      </c>
      <c r="E112" t="s">
        <v>18</v>
      </c>
      <c r="F112" t="s">
        <v>211</v>
      </c>
    </row>
    <row r="113" spans="1:6" x14ac:dyDescent="0.2">
      <c r="A113" t="s">
        <v>10</v>
      </c>
      <c r="B113" t="s">
        <v>213</v>
      </c>
      <c r="C113">
        <v>0.91519558070332696</v>
      </c>
      <c r="D113" t="s">
        <v>0</v>
      </c>
      <c r="E113" t="s">
        <v>18</v>
      </c>
      <c r="F113" t="s">
        <v>213</v>
      </c>
    </row>
    <row r="114" spans="1:6" x14ac:dyDescent="0.2">
      <c r="A114" t="s">
        <v>10</v>
      </c>
      <c r="B114" t="s">
        <v>215</v>
      </c>
      <c r="C114">
        <v>0.91447353151620403</v>
      </c>
      <c r="D114" t="s">
        <v>0</v>
      </c>
      <c r="E114" t="s">
        <v>18</v>
      </c>
      <c r="F114" t="s">
        <v>214</v>
      </c>
    </row>
    <row r="115" spans="1:6" x14ac:dyDescent="0.2">
      <c r="A115" t="s">
        <v>10</v>
      </c>
      <c r="B115" t="s">
        <v>217</v>
      </c>
      <c r="C115">
        <v>1</v>
      </c>
      <c r="D115" t="s">
        <v>45</v>
      </c>
      <c r="E115" t="s">
        <v>18</v>
      </c>
      <c r="F115" t="s">
        <v>216</v>
      </c>
    </row>
    <row r="116" spans="1:6" x14ac:dyDescent="0.2">
      <c r="A116" t="s">
        <v>10</v>
      </c>
      <c r="B116" t="s">
        <v>219</v>
      </c>
      <c r="C116">
        <v>1</v>
      </c>
      <c r="D116" t="s">
        <v>55</v>
      </c>
      <c r="E116" t="s">
        <v>18</v>
      </c>
      <c r="F116" t="s">
        <v>218</v>
      </c>
    </row>
    <row r="117" spans="1:6" x14ac:dyDescent="0.2">
      <c r="A117" t="s">
        <v>11</v>
      </c>
      <c r="B117" t="s">
        <v>221</v>
      </c>
      <c r="C117">
        <v>1</v>
      </c>
      <c r="D117" t="s">
        <v>0</v>
      </c>
      <c r="E117" t="s">
        <v>18</v>
      </c>
      <c r="F117" t="s">
        <v>220</v>
      </c>
    </row>
    <row r="118" spans="1:6" x14ac:dyDescent="0.2">
      <c r="A118" t="s">
        <v>11</v>
      </c>
      <c r="B118" t="s">
        <v>223</v>
      </c>
      <c r="C118">
        <v>1</v>
      </c>
      <c r="D118" t="s">
        <v>45</v>
      </c>
      <c r="E118" t="s">
        <v>18</v>
      </c>
      <c r="F118" t="s">
        <v>222</v>
      </c>
    </row>
    <row r="119" spans="1:6" x14ac:dyDescent="0.2">
      <c r="A119" t="s">
        <v>11</v>
      </c>
      <c r="B119" t="s">
        <v>225</v>
      </c>
      <c r="C119">
        <v>0.90317230491694001</v>
      </c>
      <c r="D119" t="s">
        <v>45</v>
      </c>
      <c r="E119" t="s">
        <v>18</v>
      </c>
      <c r="F119" t="s">
        <v>224</v>
      </c>
    </row>
    <row r="120" spans="1:6" x14ac:dyDescent="0.2">
      <c r="A120" t="s">
        <v>11</v>
      </c>
      <c r="B120" t="s">
        <v>227</v>
      </c>
      <c r="C120">
        <v>0.89352169802581505</v>
      </c>
      <c r="D120" t="s">
        <v>45</v>
      </c>
      <c r="E120" t="s">
        <v>18</v>
      </c>
      <c r="F120" t="s">
        <v>226</v>
      </c>
    </row>
    <row r="121" spans="1:6" x14ac:dyDescent="0.2">
      <c r="A121" t="s">
        <v>11</v>
      </c>
      <c r="B121" t="s">
        <v>229</v>
      </c>
      <c r="C121">
        <v>0.86080755941148901</v>
      </c>
      <c r="D121" t="s">
        <v>45</v>
      </c>
      <c r="E121" t="s">
        <v>18</v>
      </c>
      <c r="F121" t="s">
        <v>228</v>
      </c>
    </row>
    <row r="122" spans="1:6" x14ac:dyDescent="0.2">
      <c r="A122" t="s">
        <v>11</v>
      </c>
      <c r="B122" t="s">
        <v>231</v>
      </c>
      <c r="C122">
        <v>0.86075763393351901</v>
      </c>
      <c r="D122" t="s">
        <v>45</v>
      </c>
      <c r="E122" t="s">
        <v>18</v>
      </c>
      <c r="F122" t="s">
        <v>230</v>
      </c>
    </row>
    <row r="123" spans="1:6" x14ac:dyDescent="0.2">
      <c r="A123" t="s">
        <v>11</v>
      </c>
      <c r="B123" t="s">
        <v>233</v>
      </c>
      <c r="C123">
        <v>0.858883438008331</v>
      </c>
      <c r="D123" t="s">
        <v>45</v>
      </c>
      <c r="E123" t="s">
        <v>18</v>
      </c>
      <c r="F123" t="s">
        <v>232</v>
      </c>
    </row>
    <row r="124" spans="1:6" x14ac:dyDescent="0.2">
      <c r="A124" t="s">
        <v>11</v>
      </c>
      <c r="B124" t="s">
        <v>235</v>
      </c>
      <c r="C124">
        <v>0.81959252776414604</v>
      </c>
      <c r="D124" t="s">
        <v>45</v>
      </c>
      <c r="E124" t="s">
        <v>18</v>
      </c>
      <c r="F124" t="s">
        <v>234</v>
      </c>
    </row>
    <row r="125" spans="1:6" x14ac:dyDescent="0.2">
      <c r="A125" t="s">
        <v>11</v>
      </c>
      <c r="B125" t="s">
        <v>237</v>
      </c>
      <c r="C125">
        <v>1</v>
      </c>
      <c r="D125" t="s">
        <v>55</v>
      </c>
      <c r="E125" t="s">
        <v>18</v>
      </c>
      <c r="F125" t="s">
        <v>236</v>
      </c>
    </row>
    <row r="126" spans="1:6" x14ac:dyDescent="0.2">
      <c r="A126" t="s">
        <v>11</v>
      </c>
      <c r="B126" t="s">
        <v>225</v>
      </c>
      <c r="C126">
        <v>0.95787249199848901</v>
      </c>
      <c r="D126" t="s">
        <v>55</v>
      </c>
      <c r="E126" t="s">
        <v>18</v>
      </c>
      <c r="F126" t="s">
        <v>238</v>
      </c>
    </row>
    <row r="127" spans="1:6" x14ac:dyDescent="0.2">
      <c r="A127" t="s">
        <v>12</v>
      </c>
      <c r="B127" t="s">
        <v>240</v>
      </c>
      <c r="C127">
        <v>1</v>
      </c>
      <c r="D127" t="s">
        <v>0</v>
      </c>
      <c r="E127" t="s">
        <v>23</v>
      </c>
      <c r="F127" t="s">
        <v>239</v>
      </c>
    </row>
    <row r="128" spans="1:6" x14ac:dyDescent="0.2">
      <c r="A128" t="s">
        <v>12</v>
      </c>
      <c r="B128" t="s">
        <v>242</v>
      </c>
      <c r="C128">
        <v>0.90719677192455495</v>
      </c>
      <c r="D128" t="s">
        <v>0</v>
      </c>
      <c r="E128" t="s">
        <v>18</v>
      </c>
      <c r="F128" t="s">
        <v>241</v>
      </c>
    </row>
    <row r="129" spans="1:6" x14ac:dyDescent="0.2">
      <c r="A129" t="s">
        <v>12</v>
      </c>
      <c r="B129" t="s">
        <v>243</v>
      </c>
      <c r="C129">
        <v>0.89401573007930601</v>
      </c>
      <c r="D129" t="s">
        <v>0</v>
      </c>
      <c r="E129" t="s">
        <v>18</v>
      </c>
      <c r="F129" t="s">
        <v>243</v>
      </c>
    </row>
    <row r="130" spans="1:6" x14ac:dyDescent="0.2">
      <c r="A130" t="s">
        <v>12</v>
      </c>
      <c r="B130" t="s">
        <v>245</v>
      </c>
      <c r="C130">
        <v>0.88609269639232502</v>
      </c>
      <c r="D130" t="s">
        <v>0</v>
      </c>
      <c r="E130" t="s">
        <v>18</v>
      </c>
      <c r="F130" t="s">
        <v>244</v>
      </c>
    </row>
    <row r="131" spans="1:6" x14ac:dyDescent="0.2">
      <c r="A131" t="s">
        <v>12</v>
      </c>
      <c r="B131" t="s">
        <v>246</v>
      </c>
      <c r="C131">
        <v>0.84975039870042801</v>
      </c>
      <c r="D131" t="s">
        <v>0</v>
      </c>
      <c r="E131" t="s">
        <v>23</v>
      </c>
      <c r="F131" t="s">
        <v>246</v>
      </c>
    </row>
    <row r="132" spans="1:6" x14ac:dyDescent="0.2">
      <c r="A132" t="s">
        <v>12</v>
      </c>
      <c r="B132" t="s">
        <v>248</v>
      </c>
      <c r="C132">
        <v>1</v>
      </c>
      <c r="D132" t="s">
        <v>45</v>
      </c>
      <c r="E132" t="s">
        <v>23</v>
      </c>
      <c r="F132" t="s">
        <v>247</v>
      </c>
    </row>
    <row r="133" spans="1:6" x14ac:dyDescent="0.2">
      <c r="A133" t="s">
        <v>12</v>
      </c>
      <c r="B133" t="s">
        <v>250</v>
      </c>
      <c r="C133">
        <v>0.91843377591688402</v>
      </c>
      <c r="D133" t="s">
        <v>45</v>
      </c>
      <c r="E133" t="s">
        <v>18</v>
      </c>
      <c r="F133" t="s">
        <v>249</v>
      </c>
    </row>
    <row r="134" spans="1:6" x14ac:dyDescent="0.2">
      <c r="A134" t="s">
        <v>12</v>
      </c>
      <c r="B134" t="s">
        <v>252</v>
      </c>
      <c r="C134">
        <v>1</v>
      </c>
      <c r="D134" t="s">
        <v>55</v>
      </c>
      <c r="E134" t="s">
        <v>18</v>
      </c>
      <c r="F134" t="s">
        <v>251</v>
      </c>
    </row>
    <row r="135" spans="1:6" x14ac:dyDescent="0.2">
      <c r="A135" t="s">
        <v>12</v>
      </c>
      <c r="B135" t="s">
        <v>250</v>
      </c>
      <c r="C135">
        <v>0.95300791580893096</v>
      </c>
      <c r="D135" t="s">
        <v>55</v>
      </c>
      <c r="E135" t="s">
        <v>18</v>
      </c>
      <c r="F135" t="s">
        <v>253</v>
      </c>
    </row>
    <row r="136" spans="1:6" x14ac:dyDescent="0.2">
      <c r="A136" t="s">
        <v>12</v>
      </c>
      <c r="B136" t="s">
        <v>53</v>
      </c>
      <c r="C136">
        <v>0.92890167799239698</v>
      </c>
      <c r="D136" t="s">
        <v>55</v>
      </c>
      <c r="E136" t="s">
        <v>18</v>
      </c>
      <c r="F136" t="s">
        <v>254</v>
      </c>
    </row>
    <row r="137" spans="1:6" x14ac:dyDescent="0.2">
      <c r="A137" t="s">
        <v>13</v>
      </c>
      <c r="B137" t="s">
        <v>256</v>
      </c>
      <c r="C137">
        <v>1</v>
      </c>
      <c r="D137" t="s">
        <v>0</v>
      </c>
      <c r="E137" t="s">
        <v>18</v>
      </c>
      <c r="F137" t="s">
        <v>255</v>
      </c>
    </row>
    <row r="138" spans="1:6" x14ac:dyDescent="0.2">
      <c r="A138" t="s">
        <v>13</v>
      </c>
      <c r="B138" t="s">
        <v>258</v>
      </c>
      <c r="C138">
        <v>0.90511626212577401</v>
      </c>
      <c r="D138" t="s">
        <v>0</v>
      </c>
      <c r="E138" t="s">
        <v>18</v>
      </c>
      <c r="F138" t="s">
        <v>257</v>
      </c>
    </row>
    <row r="139" spans="1:6" x14ac:dyDescent="0.2">
      <c r="A139" t="s">
        <v>13</v>
      </c>
      <c r="B139" t="s">
        <v>260</v>
      </c>
      <c r="C139">
        <v>0.89151823766099403</v>
      </c>
      <c r="D139" t="s">
        <v>0</v>
      </c>
      <c r="E139" t="s">
        <v>23</v>
      </c>
      <c r="F139" t="s">
        <v>259</v>
      </c>
    </row>
    <row r="140" spans="1:6" x14ac:dyDescent="0.2">
      <c r="A140" t="s">
        <v>13</v>
      </c>
      <c r="B140" t="s">
        <v>262</v>
      </c>
      <c r="C140">
        <v>1</v>
      </c>
      <c r="D140" t="s">
        <v>45</v>
      </c>
      <c r="E140" t="s">
        <v>23</v>
      </c>
      <c r="F140" t="s">
        <v>261</v>
      </c>
    </row>
    <row r="141" spans="1:6" x14ac:dyDescent="0.2">
      <c r="A141" t="s">
        <v>13</v>
      </c>
      <c r="B141" t="s">
        <v>256</v>
      </c>
      <c r="C141">
        <v>0.97473606075427699</v>
      </c>
      <c r="D141" t="s">
        <v>45</v>
      </c>
      <c r="E141" t="s">
        <v>23</v>
      </c>
      <c r="F141" t="s">
        <v>263</v>
      </c>
    </row>
    <row r="142" spans="1:6" x14ac:dyDescent="0.2">
      <c r="A142" t="s">
        <v>13</v>
      </c>
      <c r="B142" t="s">
        <v>256</v>
      </c>
      <c r="C142">
        <v>1</v>
      </c>
      <c r="D142" t="s">
        <v>55</v>
      </c>
      <c r="E142" t="s">
        <v>23</v>
      </c>
      <c r="F142" t="s">
        <v>264</v>
      </c>
    </row>
    <row r="143" spans="1:6" x14ac:dyDescent="0.2">
      <c r="A143" t="s">
        <v>13</v>
      </c>
      <c r="B143" t="s">
        <v>266</v>
      </c>
      <c r="C143">
        <v>0.82825825092907801</v>
      </c>
      <c r="D143" t="s">
        <v>55</v>
      </c>
      <c r="E143" t="s">
        <v>23</v>
      </c>
      <c r="F143" t="s">
        <v>265</v>
      </c>
    </row>
    <row r="144" spans="1:6" x14ac:dyDescent="0.2">
      <c r="A144" t="s">
        <v>13</v>
      </c>
      <c r="B144" t="s">
        <v>268</v>
      </c>
      <c r="C144">
        <v>0.757827733373584</v>
      </c>
      <c r="D144" t="s">
        <v>55</v>
      </c>
      <c r="E144" t="s">
        <v>23</v>
      </c>
      <c r="F144" t="s">
        <v>267</v>
      </c>
    </row>
    <row r="145" spans="1:6" x14ac:dyDescent="0.2">
      <c r="A145" t="s">
        <v>14</v>
      </c>
      <c r="B145" t="s">
        <v>269</v>
      </c>
      <c r="C145">
        <v>1</v>
      </c>
      <c r="D145" t="s">
        <v>55</v>
      </c>
      <c r="E145" t="s">
        <v>23</v>
      </c>
      <c r="F145" t="s">
        <v>269</v>
      </c>
    </row>
    <row r="146" spans="1:6" x14ac:dyDescent="0.2">
      <c r="A146" t="s">
        <v>14</v>
      </c>
      <c r="B146" t="s">
        <v>271</v>
      </c>
      <c r="C146">
        <v>0.97528250411686002</v>
      </c>
      <c r="D146" t="s">
        <v>55</v>
      </c>
      <c r="E146" t="s">
        <v>23</v>
      </c>
      <c r="F146" t="s">
        <v>270</v>
      </c>
    </row>
    <row r="147" spans="1:6" x14ac:dyDescent="0.2">
      <c r="A147" t="s">
        <v>14</v>
      </c>
      <c r="B147" t="s">
        <v>273</v>
      </c>
      <c r="C147">
        <v>0.89579583596380696</v>
      </c>
      <c r="D147" t="s">
        <v>55</v>
      </c>
      <c r="E147" t="s">
        <v>23</v>
      </c>
      <c r="F147" t="s">
        <v>272</v>
      </c>
    </row>
    <row r="148" spans="1:6" x14ac:dyDescent="0.2">
      <c r="A148" t="s">
        <v>14</v>
      </c>
      <c r="B148" t="s">
        <v>275</v>
      </c>
      <c r="C148">
        <v>0.863388777056183</v>
      </c>
      <c r="D148" t="s">
        <v>55</v>
      </c>
      <c r="E148" t="s">
        <v>23</v>
      </c>
      <c r="F148" t="s">
        <v>274</v>
      </c>
    </row>
    <row r="149" spans="1:6" x14ac:dyDescent="0.2">
      <c r="A149" t="s">
        <v>14</v>
      </c>
      <c r="B149" t="s">
        <v>277</v>
      </c>
      <c r="C149">
        <v>0.85555260377207998</v>
      </c>
      <c r="D149" t="s">
        <v>55</v>
      </c>
      <c r="E149" t="s">
        <v>23</v>
      </c>
      <c r="F149" t="s">
        <v>276</v>
      </c>
    </row>
    <row r="150" spans="1:6" x14ac:dyDescent="0.2">
      <c r="A150" t="s">
        <v>14</v>
      </c>
      <c r="B150" t="s">
        <v>279</v>
      </c>
      <c r="C150">
        <v>0.81273091453064406</v>
      </c>
      <c r="D150" t="s">
        <v>55</v>
      </c>
      <c r="E150" t="s">
        <v>23</v>
      </c>
      <c r="F150" t="s">
        <v>278</v>
      </c>
    </row>
    <row r="151" spans="1:6" x14ac:dyDescent="0.2">
      <c r="A151" t="s">
        <v>15</v>
      </c>
      <c r="B151" t="s">
        <v>281</v>
      </c>
      <c r="C151">
        <v>1</v>
      </c>
      <c r="D151" t="s">
        <v>55</v>
      </c>
      <c r="E151" t="s">
        <v>18</v>
      </c>
      <c r="F151" t="s">
        <v>280</v>
      </c>
    </row>
    <row r="152" spans="1:6" x14ac:dyDescent="0.2">
      <c r="A152" t="s">
        <v>15</v>
      </c>
      <c r="B152" t="s">
        <v>283</v>
      </c>
      <c r="C152">
        <v>0.96899774665192295</v>
      </c>
      <c r="D152" t="s">
        <v>55</v>
      </c>
      <c r="E152" t="s">
        <v>18</v>
      </c>
      <c r="F152" t="s">
        <v>282</v>
      </c>
    </row>
    <row r="153" spans="1:6" x14ac:dyDescent="0.2">
      <c r="A153" t="s">
        <v>15</v>
      </c>
      <c r="B153" t="s">
        <v>285</v>
      </c>
      <c r="C153">
        <v>0.94643304702593301</v>
      </c>
      <c r="D153" t="s">
        <v>55</v>
      </c>
      <c r="E153" t="s">
        <v>18</v>
      </c>
      <c r="F153" t="s">
        <v>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C266E-6062-4E4C-A0BB-9F92729B53DC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Erkers</dc:creator>
  <cp:lastModifiedBy>Microsoft Office User</cp:lastModifiedBy>
  <dcterms:created xsi:type="dcterms:W3CDTF">2022-02-07T08:49:14Z</dcterms:created>
  <dcterms:modified xsi:type="dcterms:W3CDTF">2022-02-07T09:31:37Z</dcterms:modified>
</cp:coreProperties>
</file>